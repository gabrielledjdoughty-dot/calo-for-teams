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 Societies" sheetId="2" state="visible" r:id="rId2"/>
    <sheet name="Student Accommodation" sheetId="3" state="visible" r:id="rId3"/>
    <sheet name="Monthl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£#,##0;(£#,##0);&quot;-&quot;"/>
    <numFmt numFmtId="167" formatCode="0.0%;0.0%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67676"/>
      <sz val="9"/>
    </font>
    <font>
      <name val="Arial"/>
      <b val="1"/>
      <color rgb="00FFFFFF"/>
      <sz val="9"/>
    </font>
    <font>
      <name val="Arial"/>
      <b val="1"/>
      <color rgb="002D6A4F"/>
      <sz val="2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2D6A4F"/>
      <sz val="10"/>
    </font>
    <font>
      <name val="Arial"/>
      <color rgb="002D6A4F"/>
      <sz val="10"/>
    </font>
    <font>
      <name val="Arial"/>
      <color rgb="000070C0"/>
      <sz val="10"/>
    </font>
    <font>
      <name val="Arial"/>
      <b val="1"/>
      <color rgb="002D6A4F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b val="1"/>
      <color rgb="00000000"/>
      <sz val="10"/>
    </font>
    <font>
      <name val="Arial"/>
      <color rgb="000070C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0FAF4"/>
      </patternFill>
    </fill>
    <fill>
      <patternFill patternType="solid">
        <fgColor rgb="0052B788"/>
      </patternFill>
    </fill>
    <fill>
      <patternFill patternType="solid">
        <fgColor rgb="00D8F3DC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13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" customWidth="1" min="3" max="3"/>
    <col width="14" customWidth="1" min="4" max="4"/>
    <col width="3" customWidth="1" min="5" max="5"/>
    <col width="14" customWidth="1" min="6" max="6"/>
    <col width="3" customWidth="1" min="7" max="7"/>
    <col width="14" customWidth="1" min="8" max="8"/>
    <col width="3" customWidth="1" min="9" max="9"/>
    <col width="14" customWidth="1" min="10" max="10"/>
  </cols>
  <sheetData>
    <row r="1" ht="36" customHeight="1">
      <c r="A1" s="1" t="inlineStr">
        <is>
          <t>Calo  ·  University Student Programme  ·  Overview Dashboard</t>
        </is>
      </c>
    </row>
    <row r="2" ht="18" customHeight="1">
      <c r="A2" s="2" t="inlineStr">
        <is>
          <t>Live summary pulling from Societies and Accommodation sheets</t>
        </is>
      </c>
    </row>
    <row r="3" ht="8" customHeight="1"/>
    <row r="4" ht="22" customHeight="1">
      <c r="A4" s="3" t="n"/>
      <c r="B4" s="4" t="inlineStr">
        <is>
          <t>Active Societies</t>
        </is>
      </c>
      <c r="C4" s="3" t="n"/>
      <c r="D4" s="4" t="inlineStr">
        <is>
          <t>Total Referrals
(Societies)</t>
        </is>
      </c>
      <c r="E4" s="3" t="n"/>
      <c r="F4" s="4" t="inlineStr">
        <is>
          <t>Cash Out (£)</t>
        </is>
      </c>
      <c r="G4" s="3" t="n"/>
      <c r="H4" s="4" t="inlineStr">
        <is>
          <t>Accom Partners</t>
        </is>
      </c>
      <c r="I4" s="3" t="n"/>
      <c r="J4" s="4" t="inlineStr">
        <is>
          <t>Accom Referrals</t>
        </is>
      </c>
    </row>
    <row r="5" ht="44" customHeight="1">
      <c r="A5" s="3" t="n"/>
      <c r="B5" s="5">
        <f>COUNTA('Student Societies'!A5:A24)</f>
        <v/>
      </c>
      <c r="C5" s="3" t="n"/>
      <c r="D5" s="5">
        <f>SUM('Student Societies'!L5:L24)</f>
        <v/>
      </c>
      <c r="E5" s="3" t="n"/>
      <c r="F5" s="5">
        <f>SUM('Student Societies'!M5:M24)</f>
        <v/>
      </c>
      <c r="G5" s="3" t="n"/>
      <c r="H5" s="5">
        <f>COUNTA('Student Accommodation'!A5:A5)</f>
        <v/>
      </c>
      <c r="I5" s="3" t="n"/>
      <c r="J5" s="5">
        <f>SUM('Student Accommodation'!H5:H5)</f>
        <v/>
      </c>
    </row>
    <row r="6" ht="8" customHeight="1"/>
    <row r="7" ht="22" customHeight="1">
      <c r="B7" s="6" t="inlineStr">
        <is>
          <t>Top Societies by Referrals</t>
        </is>
      </c>
    </row>
    <row r="8" ht="20" customHeight="1">
      <c r="B8" s="7" t="inlineStr">
        <is>
          <t>Society</t>
        </is>
      </c>
      <c r="C8" s="7" t="inlineStr">
        <is>
          <t>Location</t>
        </is>
      </c>
      <c r="D8" s="7" t="inlineStr">
        <is>
          <t>Account Manager</t>
        </is>
      </c>
      <c r="E8" s="7" t="inlineStr">
        <is>
          <t>Referrals</t>
        </is>
      </c>
    </row>
    <row r="9" ht="20" customHeight="1">
      <c r="B9" s="8" t="inlineStr">
        <is>
          <t>🥇 UCL Saudi Society</t>
        </is>
      </c>
      <c r="C9" s="8" t="inlineStr">
        <is>
          <t>London</t>
        </is>
      </c>
      <c r="D9" s="8" t="inlineStr">
        <is>
          <t>Sophie</t>
        </is>
      </c>
      <c r="E9" s="9" t="n">
        <v>40</v>
      </c>
    </row>
    <row r="10" ht="20" customHeight="1">
      <c r="B10" s="10" t="inlineStr">
        <is>
          <t>🥈 Cardiff Uni Saudi Society</t>
        </is>
      </c>
      <c r="C10" s="10" t="inlineStr">
        <is>
          <t>Cardiff</t>
        </is>
      </c>
      <c r="D10" s="10" t="inlineStr">
        <is>
          <t>Sophie</t>
        </is>
      </c>
      <c r="E10" s="11" t="n">
        <v>12</v>
      </c>
    </row>
    <row r="11" ht="20" customHeight="1">
      <c r="B11" s="12" t="inlineStr">
        <is>
          <t>🥉 Uni of Edinburgh Saudi Society</t>
        </is>
      </c>
      <c r="C11" s="12" t="inlineStr">
        <is>
          <t>Edinburgh</t>
        </is>
      </c>
      <c r="D11" s="12" t="inlineStr">
        <is>
          <t>Sophie</t>
        </is>
      </c>
      <c r="E11" s="13" t="n">
        <v>8</v>
      </c>
    </row>
    <row r="12" ht="20" customHeight="1">
      <c r="B12" s="14" t="inlineStr">
        <is>
          <t xml:space="preserve"> Imperial College Saudi Society</t>
        </is>
      </c>
      <c r="C12" s="14" t="inlineStr">
        <is>
          <t>London</t>
        </is>
      </c>
      <c r="D12" s="14" t="inlineStr">
        <is>
          <t>Sophie</t>
        </is>
      </c>
      <c r="E12" s="15" t="n">
        <v>7</v>
      </c>
    </row>
    <row r="13" ht="20" customHeight="1">
      <c r="B13" s="16" t="inlineStr">
        <is>
          <t xml:space="preserve"> DRS Saudi Run Club (Loughborough)</t>
        </is>
      </c>
      <c r="C13" s="16" t="inlineStr">
        <is>
          <t>Loughborough</t>
        </is>
      </c>
      <c r="D13" s="16" t="inlineStr">
        <is>
          <t>Sophie</t>
        </is>
      </c>
      <c r="E13" s="17" t="n">
        <v>6</v>
      </c>
    </row>
    <row r="14" ht="8" customHeight="1"/>
    <row r="15" ht="22" customHeight="1">
      <c r="B15" s="6" t="inlineStr">
        <is>
          <t>Referrals by Account Manager</t>
        </is>
      </c>
    </row>
    <row r="16" ht="20" customHeight="1">
      <c r="B16" s="7" t="inlineStr">
        <is>
          <t>Manager</t>
        </is>
      </c>
      <c r="C16" s="7" t="inlineStr">
        <is>
          <t>Societies</t>
        </is>
      </c>
      <c r="D16" s="7" t="inlineStr">
        <is>
          <t>Total Referrals</t>
        </is>
      </c>
      <c r="E16" s="7" t="inlineStr">
        <is>
          <t>% of Total</t>
        </is>
      </c>
    </row>
    <row r="17" ht="20" customHeight="1">
      <c r="B17" s="16" t="inlineStr">
        <is>
          <t>Sophie</t>
        </is>
      </c>
      <c r="C17" s="17" t="n">
        <v>18</v>
      </c>
      <c r="D17" s="17" t="n">
        <v>84</v>
      </c>
      <c r="E17" s="18" t="n">
        <v>1</v>
      </c>
    </row>
    <row r="18" ht="20" customHeight="1">
      <c r="B18" s="14" t="inlineStr">
        <is>
          <t>Milly</t>
        </is>
      </c>
      <c r="C18" s="15" t="n">
        <v>2</v>
      </c>
      <c r="D18" s="15" t="n">
        <v>0</v>
      </c>
      <c r="E18" s="19" t="n">
        <v>0</v>
      </c>
    </row>
    <row r="19" ht="8" customHeight="1"/>
    <row r="21" ht="22" customHeight="1">
      <c r="G21" s="6" t="inlineStr">
        <is>
          <t>Referrals by City</t>
        </is>
      </c>
    </row>
    <row r="22" ht="20" customHeight="1">
      <c r="G22" s="7" t="inlineStr">
        <is>
          <t>City</t>
        </is>
      </c>
      <c r="H22" s="7" t="inlineStr">
        <is>
          <t>Societies</t>
        </is>
      </c>
      <c r="I22" s="7" t="inlineStr">
        <is>
          <t>Referrals</t>
        </is>
      </c>
      <c r="J22" s="7" t="inlineStr">
        <is>
          <t>% of Total</t>
        </is>
      </c>
    </row>
    <row r="23" ht="18" customHeight="1">
      <c r="G23" s="16" t="inlineStr">
        <is>
          <t>London</t>
        </is>
      </c>
      <c r="H23" s="17" t="n">
        <v>6</v>
      </c>
      <c r="I23" s="17" t="n">
        <v>50</v>
      </c>
      <c r="J23" s="18" t="n">
        <v>0.5952380952380952</v>
      </c>
    </row>
    <row r="24" ht="18" customHeight="1">
      <c r="G24" s="14" t="inlineStr">
        <is>
          <t>Cardiff</t>
        </is>
      </c>
      <c r="H24" s="15" t="n">
        <v>1</v>
      </c>
      <c r="I24" s="15" t="n">
        <v>12</v>
      </c>
      <c r="J24" s="19" t="n">
        <v>0.1428571428571428</v>
      </c>
    </row>
    <row r="25" ht="18" customHeight="1">
      <c r="G25" s="16" t="inlineStr">
        <is>
          <t>Edinburgh</t>
        </is>
      </c>
      <c r="H25" s="17" t="n">
        <v>1</v>
      </c>
      <c r="I25" s="17" t="n">
        <v>8</v>
      </c>
      <c r="J25" s="18" t="n">
        <v>0.09523809523809523</v>
      </c>
    </row>
    <row r="26" ht="18" customHeight="1">
      <c r="G26" s="14" t="inlineStr">
        <is>
          <t>Loughborough</t>
        </is>
      </c>
      <c r="H26" s="15" t="n">
        <v>1</v>
      </c>
      <c r="I26" s="15" t="n">
        <v>6</v>
      </c>
      <c r="J26" s="19" t="n">
        <v>0.07142857142857142</v>
      </c>
    </row>
    <row r="27" ht="18" customHeight="1">
      <c r="G27" s="16" t="inlineStr">
        <is>
          <t>Glasgow</t>
        </is>
      </c>
      <c r="H27" s="17" t="n">
        <v>1</v>
      </c>
      <c r="I27" s="17" t="n">
        <v>3</v>
      </c>
      <c r="J27" s="18" t="n">
        <v>0.03571428571428571</v>
      </c>
    </row>
    <row r="28" ht="18" customHeight="1">
      <c r="G28" s="14" t="inlineStr">
        <is>
          <t>Manchester</t>
        </is>
      </c>
      <c r="H28" s="15" t="n">
        <v>1</v>
      </c>
      <c r="I28" s="15" t="n">
        <v>2</v>
      </c>
      <c r="J28" s="19" t="n">
        <v>0.02380952380952381</v>
      </c>
    </row>
    <row r="29" ht="18" customHeight="1">
      <c r="G29" s="16" t="inlineStr">
        <is>
          <t>Leeds</t>
        </is>
      </c>
      <c r="H29" s="17" t="n">
        <v>1</v>
      </c>
      <c r="I29" s="17" t="n">
        <v>1</v>
      </c>
      <c r="J29" s="18" t="n">
        <v>0.0119047619047619</v>
      </c>
    </row>
    <row r="30" ht="18" customHeight="1">
      <c r="G30" s="14" t="inlineStr">
        <is>
          <t>Nottingham</t>
        </is>
      </c>
      <c r="H30" s="15" t="n">
        <v>2</v>
      </c>
      <c r="I30" s="15" t="n">
        <v>1</v>
      </c>
      <c r="J30" s="19" t="n">
        <v>0.0119047619047619</v>
      </c>
    </row>
    <row r="31" ht="18" customHeight="1">
      <c r="G31" s="16" t="inlineStr">
        <is>
          <t>Newcastle</t>
        </is>
      </c>
      <c r="H31" s="17" t="n">
        <v>1</v>
      </c>
      <c r="I31" s="17" t="n">
        <v>1</v>
      </c>
      <c r="J31" s="18" t="n">
        <v>0.0119047619047619</v>
      </c>
    </row>
    <row r="32" ht="18" customHeight="1">
      <c r="G32" s="14" t="inlineStr">
        <is>
          <t>Cambridge</t>
        </is>
      </c>
      <c r="H32" s="15" t="n">
        <v>1</v>
      </c>
      <c r="I32" s="15" t="n">
        <v>0</v>
      </c>
      <c r="J32" s="19" t="n">
        <v>0</v>
      </c>
    </row>
    <row r="33" ht="18" customHeight="1">
      <c r="G33" s="16" t="inlineStr">
        <is>
          <t>Brighton</t>
        </is>
      </c>
      <c r="H33" s="17" t="n">
        <v>1</v>
      </c>
      <c r="I33" s="17" t="n">
        <v>0</v>
      </c>
      <c r="J33" s="18" t="n">
        <v>0</v>
      </c>
    </row>
    <row r="34" ht="18" customHeight="1">
      <c r="G34" s="14" t="inlineStr">
        <is>
          <t>Reading</t>
        </is>
      </c>
      <c r="H34" s="15" t="n">
        <v>1</v>
      </c>
      <c r="I34" s="15" t="n">
        <v>0</v>
      </c>
      <c r="J34" s="19" t="n">
        <v>0</v>
      </c>
    </row>
    <row r="35" ht="18" customHeight="1">
      <c r="G35" s="16" t="inlineStr">
        <is>
          <t>Birmingham</t>
        </is>
      </c>
      <c r="H35" s="17" t="n">
        <v>2</v>
      </c>
      <c r="I35" s="17" t="n">
        <v>0</v>
      </c>
      <c r="J35" s="18" t="n">
        <v>0</v>
      </c>
    </row>
  </sheetData>
  <mergeCells count="5">
    <mergeCell ref="A1:J1"/>
    <mergeCell ref="B15:E15"/>
    <mergeCell ref="B7:E7"/>
    <mergeCell ref="G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14" customWidth="1" min="5" max="5"/>
    <col width="20" customWidth="1" min="6" max="6"/>
    <col width="18" customWidth="1" min="7" max="7"/>
    <col width="12" customWidth="1" min="8" max="8"/>
    <col width="22" customWidth="1" min="9" max="9"/>
    <col width="30" customWidth="1" min="10" max="10"/>
    <col width="38" customWidth="1" min="11" max="11"/>
    <col width="12" customWidth="1" min="12" max="12"/>
    <col width="12" customWidth="1" min="13" max="13"/>
    <col width="14" customWidth="1" min="14" max="14"/>
    <col width="14" customWidth="1" min="15" max="15"/>
    <col width="30" customWidth="1" min="16" max="16"/>
  </cols>
  <sheetData>
    <row r="1" ht="36" customHeight="1">
      <c r="A1" s="1" t="inlineStr">
        <is>
          <t>Calo  ·  Student Societies &amp; Communities Tracker</t>
        </is>
      </c>
    </row>
    <row r="2" ht="18" customHeight="1">
      <c r="A2" s="2" t="inlineStr">
        <is>
          <t>All active and pipeline student society partnerships  ·  Blue cells = manual input  ·  Partnership code UNICOMMITTEE applies across all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Society / Community Name</t>
        </is>
      </c>
      <c r="C4" s="4" t="inlineStr">
        <is>
          <t>University</t>
        </is>
      </c>
      <c r="D4" s="4" t="inlineStr">
        <is>
          <t>Account
Manager</t>
        </is>
      </c>
      <c r="E4" s="4" t="inlineStr">
        <is>
          <t>City</t>
        </is>
      </c>
      <c r="F4" s="4" t="inlineStr">
        <is>
          <t>Discount Code</t>
        </is>
      </c>
      <c r="G4" s="4" t="inlineStr">
        <is>
          <t>Society Type</t>
        </is>
      </c>
      <c r="H4" s="4" t="inlineStr">
        <is>
          <t>Status</t>
        </is>
      </c>
      <c r="I4" s="4" t="inlineStr">
        <is>
          <t>Key Contact</t>
        </is>
      </c>
      <c r="J4" s="4" t="inlineStr">
        <is>
          <t>Landing Page</t>
        </is>
      </c>
      <c r="K4" s="4" t="inlineStr">
        <is>
          <t>Activities &amp; Events</t>
        </is>
      </c>
      <c r="L4" s="4" t="inlineStr">
        <is>
          <t>Total
Referrals</t>
        </is>
      </c>
      <c r="M4" s="4" t="inlineStr">
        <is>
          <t>Cash Out
(£)</t>
        </is>
      </c>
      <c r="N4" s="4" t="inlineStr">
        <is>
          <t>WhatsApp
Group</t>
        </is>
      </c>
      <c r="O4" s="4" t="inlineStr">
        <is>
          <t>Ambassador
Flag</t>
        </is>
      </c>
      <c r="P4" s="4" t="inlineStr">
        <is>
          <t>Notes</t>
        </is>
      </c>
    </row>
    <row r="5" ht="22" customHeight="1">
      <c r="A5" s="17" t="n">
        <v>1</v>
      </c>
      <c r="B5" s="20" t="inlineStr">
        <is>
          <t>Uni of Edinburgh Saudi Society</t>
        </is>
      </c>
      <c r="C5" s="16" t="inlineStr">
        <is>
          <t>University of Edinburgh</t>
        </is>
      </c>
      <c r="D5" s="21" t="inlineStr">
        <is>
          <t>Sophie</t>
        </is>
      </c>
      <c r="E5" s="16" t="inlineStr">
        <is>
          <t>Edinburgh</t>
        </is>
      </c>
      <c r="F5" s="22" t="inlineStr">
        <is>
          <t>UOESAUDI</t>
        </is>
      </c>
      <c r="G5" s="16" t="inlineStr">
        <is>
          <t>Saudi Society</t>
        </is>
      </c>
      <c r="H5" s="23" t="inlineStr">
        <is>
          <t>Active</t>
        </is>
      </c>
      <c r="I5" s="24" t="n"/>
      <c r="J5" s="24" t="n"/>
      <c r="K5" s="25" t="inlineStr">
        <is>
          <t>Launch event 30 Oct; Ramadan event 27 Feb</t>
        </is>
      </c>
      <c r="L5" s="26" t="n">
        <v>8</v>
      </c>
      <c r="M5" s="27" t="n"/>
      <c r="N5" s="22" t="n"/>
      <c r="O5" s="22" t="n"/>
      <c r="P5" s="28" t="n"/>
    </row>
    <row r="6" ht="22" customHeight="1">
      <c r="A6" s="15" t="n">
        <v>2</v>
      </c>
      <c r="B6" s="29" t="inlineStr">
        <is>
          <t>Uni of Manchester Saudi Society</t>
        </is>
      </c>
      <c r="C6" s="14" t="inlineStr">
        <is>
          <t>University of Manchester</t>
        </is>
      </c>
      <c r="D6" s="30" t="inlineStr">
        <is>
          <t>Sophie</t>
        </is>
      </c>
      <c r="E6" s="14" t="inlineStr">
        <is>
          <t>Manchester</t>
        </is>
      </c>
      <c r="F6" s="31" t="inlineStr">
        <is>
          <t>UOMSAUDI</t>
        </is>
      </c>
      <c r="G6" s="14" t="inlineStr">
        <is>
          <t>Saudi Society</t>
        </is>
      </c>
      <c r="H6" s="23" t="inlineStr">
        <is>
          <t>Active</t>
        </is>
      </c>
      <c r="I6" s="32" t="n"/>
      <c r="J6" s="32" t="n"/>
      <c r="K6" s="33" t="inlineStr">
        <is>
          <t>Launch event 2 Nov</t>
        </is>
      </c>
      <c r="L6" s="34" t="n">
        <v>2</v>
      </c>
      <c r="M6" s="35" t="n"/>
      <c r="N6" s="31" t="n"/>
      <c r="O6" s="31" t="n"/>
      <c r="P6" s="36" t="n"/>
    </row>
    <row r="7" ht="22" customHeight="1">
      <c r="A7" s="17" t="n">
        <v>3</v>
      </c>
      <c r="B7" s="20" t="inlineStr">
        <is>
          <t>Uni of Leeds Saudi Society</t>
        </is>
      </c>
      <c r="C7" s="16" t="inlineStr">
        <is>
          <t>University of Leeds</t>
        </is>
      </c>
      <c r="D7" s="21" t="inlineStr">
        <is>
          <t>Sophie</t>
        </is>
      </c>
      <c r="E7" s="16" t="inlineStr">
        <is>
          <t>Leeds</t>
        </is>
      </c>
      <c r="F7" s="22" t="inlineStr">
        <is>
          <t>UOLSAUDI</t>
        </is>
      </c>
      <c r="G7" s="16" t="inlineStr">
        <is>
          <t>Saudi Society</t>
        </is>
      </c>
      <c r="H7" s="23" t="inlineStr">
        <is>
          <t>Active</t>
        </is>
      </c>
      <c r="I7" s="24" t="n"/>
      <c r="J7" s="24" t="n"/>
      <c r="K7" s="25" t="inlineStr">
        <is>
          <t>Run Club Launch event 23 Jan</t>
        </is>
      </c>
      <c r="L7" s="26" t="n">
        <v>1</v>
      </c>
      <c r="M7" s="27" t="n"/>
      <c r="N7" s="22" t="n"/>
      <c r="O7" s="22" t="n"/>
      <c r="P7" s="28" t="n"/>
    </row>
    <row r="8" ht="22" customHeight="1">
      <c r="A8" s="15" t="n">
        <v>4</v>
      </c>
      <c r="B8" s="29" t="inlineStr">
        <is>
          <t>Imperial College Saudi Society</t>
        </is>
      </c>
      <c r="C8" s="14" t="inlineStr">
        <is>
          <t>Imperial College London</t>
        </is>
      </c>
      <c r="D8" s="30" t="inlineStr">
        <is>
          <t>Sophie</t>
        </is>
      </c>
      <c r="E8" s="14" t="inlineStr">
        <is>
          <t>London</t>
        </is>
      </c>
      <c r="F8" s="31" t="inlineStr">
        <is>
          <t>SAUDISATIMPERIAL</t>
        </is>
      </c>
      <c r="G8" s="14" t="inlineStr">
        <is>
          <t>Saudi Society</t>
        </is>
      </c>
      <c r="H8" s="23" t="inlineStr">
        <is>
          <t>Active</t>
        </is>
      </c>
      <c r="I8" s="32" t="n"/>
      <c r="J8" s="32" t="inlineStr">
        <is>
          <t>https://try.calo.app/imperialsaudi/</t>
        </is>
      </c>
      <c r="K8" s="33" t="inlineStr">
        <is>
          <t>Ramadan launch event 5 Mar</t>
        </is>
      </c>
      <c r="L8" s="34" t="n">
        <v>7</v>
      </c>
      <c r="M8" s="35" t="n"/>
      <c r="N8" s="31" t="n"/>
      <c r="O8" s="31" t="n"/>
      <c r="P8" s="36" t="n"/>
    </row>
    <row r="9" ht="22" customHeight="1">
      <c r="A9" s="17" t="n">
        <v>5</v>
      </c>
      <c r="B9" s="20" t="inlineStr">
        <is>
          <t>UCL Saudi Society</t>
        </is>
      </c>
      <c r="C9" s="16" t="inlineStr">
        <is>
          <t>UCL</t>
        </is>
      </c>
      <c r="D9" s="21" t="inlineStr">
        <is>
          <t>Sophie</t>
        </is>
      </c>
      <c r="E9" s="16" t="inlineStr">
        <is>
          <t>London</t>
        </is>
      </c>
      <c r="F9" s="22" t="inlineStr">
        <is>
          <t>UCLSAUDI</t>
        </is>
      </c>
      <c r="G9" s="16" t="inlineStr">
        <is>
          <t>Saudi Society</t>
        </is>
      </c>
      <c r="H9" s="23" t="inlineStr">
        <is>
          <t>Active</t>
        </is>
      </c>
      <c r="I9" s="24" t="n"/>
      <c r="J9" s="24" t="n"/>
      <c r="K9" s="25" t="inlineStr">
        <is>
          <t>Quiz Night launch 5 Dec; Ramadan event 27 Feb</t>
        </is>
      </c>
      <c r="L9" s="26" t="n">
        <v>40</v>
      </c>
      <c r="M9" s="27" t="inlineStr">
        <is>
          <t>280 and 379</t>
        </is>
      </c>
      <c r="N9" s="22" t="n"/>
      <c r="O9" s="22" t="n"/>
      <c r="P9" s="28" t="n"/>
    </row>
    <row r="10" ht="22" customHeight="1">
      <c r="A10" s="15" t="n">
        <v>6</v>
      </c>
      <c r="B10" s="29" t="inlineStr">
        <is>
          <t>King's College London Saudi Society</t>
        </is>
      </c>
      <c r="C10" s="14" t="inlineStr">
        <is>
          <t>King's College London</t>
        </is>
      </c>
      <c r="D10" s="30" t="inlineStr">
        <is>
          <t>Sophie</t>
        </is>
      </c>
      <c r="E10" s="14" t="inlineStr">
        <is>
          <t>London</t>
        </is>
      </c>
      <c r="F10" s="31" t="inlineStr">
        <is>
          <t>ABDULLAHKCL</t>
        </is>
      </c>
      <c r="G10" s="14" t="inlineStr">
        <is>
          <t>Saudi Society</t>
        </is>
      </c>
      <c r="H10" s="23" t="inlineStr">
        <is>
          <t>Active</t>
        </is>
      </c>
      <c r="I10" s="32" t="n"/>
      <c r="J10" s="32" t="n"/>
      <c r="K10" s="33" t="inlineStr">
        <is>
          <t>Launch event 29 Oct</t>
        </is>
      </c>
      <c r="L10" s="34" t="n">
        <v>3</v>
      </c>
      <c r="M10" s="35" t="n"/>
      <c r="N10" s="31" t="n"/>
      <c r="O10" s="31" t="n"/>
      <c r="P10" s="36" t="n"/>
    </row>
    <row r="11" ht="22" customHeight="1">
      <c r="A11" s="17" t="n">
        <v>7</v>
      </c>
      <c r="B11" s="20" t="inlineStr">
        <is>
          <t>Cardiff Uni Saudi Society</t>
        </is>
      </c>
      <c r="C11" s="16" t="inlineStr">
        <is>
          <t>Cardiff University</t>
        </is>
      </c>
      <c r="D11" s="21" t="inlineStr">
        <is>
          <t>Sophie</t>
        </is>
      </c>
      <c r="E11" s="16" t="inlineStr">
        <is>
          <t>Cardiff</t>
        </is>
      </c>
      <c r="F11" s="22" t="inlineStr">
        <is>
          <t>SSCU</t>
        </is>
      </c>
      <c r="G11" s="16" t="inlineStr">
        <is>
          <t>Saudi Society</t>
        </is>
      </c>
      <c r="H11" s="23" t="inlineStr">
        <is>
          <t>Active</t>
        </is>
      </c>
      <c r="I11" s="24" t="n"/>
      <c r="J11" s="24" t="n"/>
      <c r="K11" s="25" t="n"/>
      <c r="L11" s="26" t="n">
        <v>12</v>
      </c>
      <c r="M11" s="27" t="n">
        <v>118</v>
      </c>
      <c r="N11" s="22" t="n"/>
      <c r="O11" s="22" t="n"/>
      <c r="P11" s="28" t="n"/>
    </row>
    <row r="12" ht="22" customHeight="1">
      <c r="A12" s="15" t="n">
        <v>8</v>
      </c>
      <c r="B12" s="29" t="inlineStr">
        <is>
          <t>Bahrain Society - Nottingham</t>
        </is>
      </c>
      <c r="C12" s="14" t="inlineStr">
        <is>
          <t>University of Nottingham</t>
        </is>
      </c>
      <c r="D12" s="30" t="inlineStr">
        <is>
          <t>Sophie</t>
        </is>
      </c>
      <c r="E12" s="14" t="inlineStr">
        <is>
          <t>Nottingham</t>
        </is>
      </c>
      <c r="F12" s="31" t="inlineStr">
        <is>
          <t>BHNOTTS</t>
        </is>
      </c>
      <c r="G12" s="14" t="inlineStr">
        <is>
          <t>Bahrain Society</t>
        </is>
      </c>
      <c r="H12" s="23" t="inlineStr">
        <is>
          <t>Active</t>
        </is>
      </c>
      <c r="I12" s="32" t="n"/>
      <c r="J12" s="32" t="n"/>
      <c r="K12" s="33" t="inlineStr">
        <is>
          <t>Launch event 12 Nov; Arabian Nights Fair 29 Jan</t>
        </is>
      </c>
      <c r="L12" s="34" t="n">
        <v>1</v>
      </c>
      <c r="M12" s="35" t="n"/>
      <c r="N12" s="31" t="n"/>
      <c r="O12" s="31" t="n"/>
      <c r="P12" s="36" t="n"/>
    </row>
    <row r="13" ht="22" customHeight="1">
      <c r="A13" s="17" t="n">
        <v>9</v>
      </c>
      <c r="B13" s="20" t="inlineStr">
        <is>
          <t>City Uni Saudi Society</t>
        </is>
      </c>
      <c r="C13" s="16" t="inlineStr">
        <is>
          <t>City University London</t>
        </is>
      </c>
      <c r="D13" s="21" t="inlineStr">
        <is>
          <t>Sophie</t>
        </is>
      </c>
      <c r="E13" s="16" t="inlineStr">
        <is>
          <t>London</t>
        </is>
      </c>
      <c r="F13" s="22" t="inlineStr">
        <is>
          <t>CITYSAUDI</t>
        </is>
      </c>
      <c r="G13" s="16" t="inlineStr">
        <is>
          <t>Saudi Society</t>
        </is>
      </c>
      <c r="H13" s="37" t="inlineStr">
        <is>
          <t>Pipeline</t>
        </is>
      </c>
      <c r="I13" s="24" t="n"/>
      <c r="J13" s="24" t="n"/>
      <c r="K13" s="25" t="n"/>
      <c r="L13" s="26" t="n">
        <v>0</v>
      </c>
      <c r="M13" s="27" t="n"/>
      <c r="N13" s="22" t="n"/>
      <c r="O13" s="22" t="n"/>
      <c r="P13" s="28" t="n"/>
    </row>
    <row r="14" ht="22" customHeight="1">
      <c r="A14" s="15" t="n">
        <v>10</v>
      </c>
      <c r="B14" s="29" t="inlineStr">
        <is>
          <t>Northumbria Saudi Society</t>
        </is>
      </c>
      <c r="C14" s="14" t="inlineStr">
        <is>
          <t>Northumbria University</t>
        </is>
      </c>
      <c r="D14" s="30" t="inlineStr">
        <is>
          <t>Sophie</t>
        </is>
      </c>
      <c r="E14" s="14" t="inlineStr">
        <is>
          <t>Newcastle</t>
        </is>
      </c>
      <c r="F14" s="31" t="inlineStr">
        <is>
          <t>SSN</t>
        </is>
      </c>
      <c r="G14" s="14" t="inlineStr">
        <is>
          <t>Saudi Society</t>
        </is>
      </c>
      <c r="H14" s="23" t="inlineStr">
        <is>
          <t>Active</t>
        </is>
      </c>
      <c r="I14" s="32" t="n"/>
      <c r="J14" s="32" t="n"/>
      <c r="K14" s="33" t="inlineStr">
        <is>
          <t>Launch event 20 Nov</t>
        </is>
      </c>
      <c r="L14" s="34" t="n">
        <v>1</v>
      </c>
      <c r="M14" s="35" t="n"/>
      <c r="N14" s="31" t="n"/>
      <c r="O14" s="31" t="n"/>
      <c r="P14" s="36" t="n"/>
    </row>
    <row r="15" ht="22" customHeight="1">
      <c r="A15" s="17" t="n">
        <v>11</v>
      </c>
      <c r="B15" s="20" t="inlineStr">
        <is>
          <t>Glasgow Saudi Society</t>
        </is>
      </c>
      <c r="C15" s="16" t="inlineStr">
        <is>
          <t>University of Glasgow</t>
        </is>
      </c>
      <c r="D15" s="21" t="inlineStr">
        <is>
          <t>Sophie</t>
        </is>
      </c>
      <c r="E15" s="16" t="inlineStr">
        <is>
          <t>Glasgow</t>
        </is>
      </c>
      <c r="F15" s="22" t="inlineStr">
        <is>
          <t>SSG</t>
        </is>
      </c>
      <c r="G15" s="16" t="inlineStr">
        <is>
          <t>Saudi Society</t>
        </is>
      </c>
      <c r="H15" s="23" t="inlineStr">
        <is>
          <t>Active</t>
        </is>
      </c>
      <c r="I15" s="24" t="n"/>
      <c r="J15" s="24" t="n"/>
      <c r="K15" s="25" t="n"/>
      <c r="L15" s="26" t="n">
        <v>3</v>
      </c>
      <c r="M15" s="27" t="n"/>
      <c r="N15" s="22" t="n"/>
      <c r="O15" s="22" t="n"/>
      <c r="P15" s="28" t="n"/>
    </row>
    <row r="16" ht="22" customHeight="1">
      <c r="A16" s="15" t="n">
        <v>12</v>
      </c>
      <c r="B16" s="29" t="inlineStr">
        <is>
          <t>Cambridge Saudi Society</t>
        </is>
      </c>
      <c r="C16" s="14" t="inlineStr">
        <is>
          <t>University of Cambridge</t>
        </is>
      </c>
      <c r="D16" s="30" t="inlineStr">
        <is>
          <t>Sophie</t>
        </is>
      </c>
      <c r="E16" s="14" t="inlineStr">
        <is>
          <t>Cambridge</t>
        </is>
      </c>
      <c r="F16" s="31" t="inlineStr">
        <is>
          <t>SAUDICAMBRIDGE</t>
        </is>
      </c>
      <c r="G16" s="14" t="inlineStr">
        <is>
          <t>Saudi Society</t>
        </is>
      </c>
      <c r="H16" s="37" t="inlineStr">
        <is>
          <t>Pipeline</t>
        </is>
      </c>
      <c r="I16" s="32" t="n"/>
      <c r="J16" s="32" t="n"/>
      <c r="K16" s="33" t="n"/>
      <c r="L16" s="34" t="n">
        <v>0</v>
      </c>
      <c r="M16" s="35" t="n"/>
      <c r="N16" s="31" t="n"/>
      <c r="O16" s="31" t="n"/>
      <c r="P16" s="36" t="n"/>
    </row>
    <row r="17" ht="22" customHeight="1">
      <c r="A17" s="17" t="n">
        <v>13</v>
      </c>
      <c r="B17" s="20" t="inlineStr">
        <is>
          <t>DRS Saudi Run Club (Loughborough)</t>
        </is>
      </c>
      <c r="C17" s="16" t="inlineStr">
        <is>
          <t>Loughborough University</t>
        </is>
      </c>
      <c r="D17" s="21" t="inlineStr">
        <is>
          <t>Sophie</t>
        </is>
      </c>
      <c r="E17" s="16" t="inlineStr">
        <is>
          <t>Loughborough</t>
        </is>
      </c>
      <c r="F17" s="22" t="inlineStr">
        <is>
          <t>DRS</t>
        </is>
      </c>
      <c r="G17" s="16" t="inlineStr">
        <is>
          <t>Saudi Run Club</t>
        </is>
      </c>
      <c r="H17" s="23" t="inlineStr">
        <is>
          <t>Active</t>
        </is>
      </c>
      <c r="I17" s="24" t="n"/>
      <c r="J17" s="24" t="n"/>
      <c r="K17" s="25" t="inlineStr">
        <is>
          <t>Run Club Launch 14 Nov</t>
        </is>
      </c>
      <c r="L17" s="26" t="n">
        <v>6</v>
      </c>
      <c r="M17" s="27" t="n"/>
      <c r="N17" s="22" t="n"/>
      <c r="O17" s="22" t="n"/>
      <c r="P17" s="28" t="n"/>
    </row>
    <row r="18" ht="22" customHeight="1">
      <c r="A18" s="15" t="n">
        <v>14</v>
      </c>
      <c r="B18" s="29" t="inlineStr">
        <is>
          <t>Saudi Society Brighton</t>
        </is>
      </c>
      <c r="C18" s="14" t="inlineStr">
        <is>
          <t>University of Brighton</t>
        </is>
      </c>
      <c r="D18" s="30" t="inlineStr">
        <is>
          <t>Sophie</t>
        </is>
      </c>
      <c r="E18" s="14" t="inlineStr">
        <is>
          <t>Brighton</t>
        </is>
      </c>
      <c r="F18" s="31" t="inlineStr">
        <is>
          <t>SAUDIBRIGHTON</t>
        </is>
      </c>
      <c r="G18" s="14" t="inlineStr">
        <is>
          <t>Saudi Society</t>
        </is>
      </c>
      <c r="H18" s="37" t="inlineStr">
        <is>
          <t>Pipeline</t>
        </is>
      </c>
      <c r="I18" s="32" t="n"/>
      <c r="J18" s="32" t="n"/>
      <c r="K18" s="33" t="inlineStr">
        <is>
          <t>Launch event 16 Feb</t>
        </is>
      </c>
      <c r="L18" s="34" t="n">
        <v>0</v>
      </c>
      <c r="M18" s="35" t="n"/>
      <c r="N18" s="31" t="n"/>
      <c r="O18" s="31" t="n"/>
      <c r="P18" s="36" t="n"/>
    </row>
    <row r="19" ht="22" customHeight="1">
      <c r="A19" s="17" t="n">
        <v>15</v>
      </c>
      <c r="B19" s="20" t="inlineStr">
        <is>
          <t>Queen Mary University Saudi Society</t>
        </is>
      </c>
      <c r="C19" s="16" t="inlineStr">
        <is>
          <t>Queen Mary University of London</t>
        </is>
      </c>
      <c r="D19" s="21" t="inlineStr">
        <is>
          <t>Sophie</t>
        </is>
      </c>
      <c r="E19" s="16" t="inlineStr">
        <is>
          <t>London</t>
        </is>
      </c>
      <c r="F19" s="22" t="inlineStr">
        <is>
          <t>SAUDIQMUL</t>
        </is>
      </c>
      <c r="G19" s="16" t="inlineStr">
        <is>
          <t>Saudi Society</t>
        </is>
      </c>
      <c r="H19" s="37" t="inlineStr">
        <is>
          <t>Pipeline</t>
        </is>
      </c>
      <c r="I19" s="24" t="n"/>
      <c r="J19" s="24" t="n"/>
      <c r="K19" s="25" t="inlineStr">
        <is>
          <t>Football / Ramadan event 20 Feb</t>
        </is>
      </c>
      <c r="L19" s="26" t="n">
        <v>0</v>
      </c>
      <c r="M19" s="27" t="n"/>
      <c r="N19" s="22" t="n"/>
      <c r="O19" s="22" t="n"/>
      <c r="P19" s="28" t="n"/>
    </row>
    <row r="20" ht="22" customHeight="1">
      <c r="A20" s="15" t="n">
        <v>16</v>
      </c>
      <c r="B20" s="29" t="inlineStr">
        <is>
          <t>Uni of Greenwich - Hispanic &amp; Wellness</t>
        </is>
      </c>
      <c r="C20" s="14" t="inlineStr">
        <is>
          <t>University of Greenwich</t>
        </is>
      </c>
      <c r="D20" s="30" t="inlineStr">
        <is>
          <t>Sophie</t>
        </is>
      </c>
      <c r="E20" s="14" t="inlineStr">
        <is>
          <t>London</t>
        </is>
      </c>
      <c r="F20" s="31" t="inlineStr">
        <is>
          <t>UNIGREENWHICH</t>
        </is>
      </c>
      <c r="G20" s="14" t="inlineStr">
        <is>
          <t>Hispanic / Wellness</t>
        </is>
      </c>
      <c r="H20" s="37" t="inlineStr">
        <is>
          <t>Pipeline</t>
        </is>
      </c>
      <c r="I20" s="32" t="n"/>
      <c r="J20" s="32" t="n"/>
      <c r="K20" s="33" t="inlineStr">
        <is>
          <t>Wellness event Mar (x30 samples)</t>
        </is>
      </c>
      <c r="L20" s="34" t="n">
        <v>0</v>
      </c>
      <c r="M20" s="35" t="n"/>
      <c r="N20" s="31" t="n"/>
      <c r="O20" s="31" t="n"/>
      <c r="P20" s="36" t="n"/>
    </row>
    <row r="21" ht="22" customHeight="1">
      <c r="A21" s="17" t="n">
        <v>17</v>
      </c>
      <c r="B21" s="20" t="inlineStr">
        <is>
          <t>Saudi Society - Nottingham Uni</t>
        </is>
      </c>
      <c r="C21" s="16" t="inlineStr">
        <is>
          <t>University of Nottingham</t>
        </is>
      </c>
      <c r="D21" s="21" t="inlineStr">
        <is>
          <t>Sophie</t>
        </is>
      </c>
      <c r="E21" s="16" t="inlineStr">
        <is>
          <t>Nottingham</t>
        </is>
      </c>
      <c r="F21" s="22" t="inlineStr">
        <is>
          <t>PENDING</t>
        </is>
      </c>
      <c r="G21" s="16" t="inlineStr">
        <is>
          <t>Saudi Society</t>
        </is>
      </c>
      <c r="H21" s="38" t="inlineStr">
        <is>
          <t>Pending</t>
        </is>
      </c>
      <c r="I21" s="24" t="n"/>
      <c r="J21" s="24" t="n"/>
      <c r="K21" s="25" t="n"/>
      <c r="L21" s="26" t="n">
        <v>0</v>
      </c>
      <c r="M21" s="27" t="n"/>
      <c r="N21" s="22" t="n"/>
      <c r="O21" s="22" t="n"/>
      <c r="P21" s="28" t="n"/>
    </row>
    <row r="22" ht="22" customHeight="1">
      <c r="A22" s="15" t="n">
        <v>18</v>
      </c>
      <c r="B22" s="29" t="inlineStr">
        <is>
          <t>Uni of Reading Saudi Society</t>
        </is>
      </c>
      <c r="C22" s="14" t="inlineStr">
        <is>
          <t>University of Reading</t>
        </is>
      </c>
      <c r="D22" s="30" t="inlineStr">
        <is>
          <t>Sophie</t>
        </is>
      </c>
      <c r="E22" s="14" t="inlineStr">
        <is>
          <t>Reading</t>
        </is>
      </c>
      <c r="F22" s="31" t="inlineStr">
        <is>
          <t>SAUDIUOR</t>
        </is>
      </c>
      <c r="G22" s="14" t="inlineStr">
        <is>
          <t>Saudi Society</t>
        </is>
      </c>
      <c r="H22" s="37" t="inlineStr">
        <is>
          <t>Pipeline</t>
        </is>
      </c>
      <c r="I22" s="32" t="n"/>
      <c r="J22" s="32" t="n"/>
      <c r="K22" s="33" t="n"/>
      <c r="L22" s="34" t="n"/>
      <c r="M22" s="35" t="n"/>
      <c r="N22" s="31" t="n"/>
      <c r="O22" s="31" t="n"/>
      <c r="P22" s="36" t="n"/>
    </row>
    <row r="23" ht="22" customHeight="1">
      <c r="A23" s="17" t="n">
        <v>19</v>
      </c>
      <c r="B23" s="20" t="inlineStr">
        <is>
          <t>Uni of Birmingham Saudi Society</t>
        </is>
      </c>
      <c r="C23" s="16" t="inlineStr">
        <is>
          <t>University of Birmingham</t>
        </is>
      </c>
      <c r="D23" s="21" t="inlineStr">
        <is>
          <t>Milly</t>
        </is>
      </c>
      <c r="E23" s="16" t="inlineStr">
        <is>
          <t>Birmingham</t>
        </is>
      </c>
      <c r="F23" s="22" t="inlineStr">
        <is>
          <t>UOBSAUDI50</t>
        </is>
      </c>
      <c r="G23" s="16" t="inlineStr">
        <is>
          <t>Saudi Society</t>
        </is>
      </c>
      <c r="H23" s="37" t="inlineStr">
        <is>
          <t>Pipeline</t>
        </is>
      </c>
      <c r="I23" s="24" t="n"/>
      <c r="J23" s="24" t="n"/>
      <c r="K23" s="25" t="inlineStr">
        <is>
          <t>Pilates event + padel</t>
        </is>
      </c>
      <c r="L23" s="26" t="n"/>
      <c r="M23" s="27" t="n"/>
      <c r="N23" s="22" t="n"/>
      <c r="O23" s="22" t="n"/>
      <c r="P23" s="28" t="n"/>
    </row>
    <row r="24" ht="22" customHeight="1">
      <c r="A24" s="15" t="n">
        <v>20</v>
      </c>
      <c r="B24" s="29" t="inlineStr">
        <is>
          <t>Uni of Birmingham Kuwait Society</t>
        </is>
      </c>
      <c r="C24" s="14" t="inlineStr">
        <is>
          <t>University of Birmingham</t>
        </is>
      </c>
      <c r="D24" s="30" t="inlineStr">
        <is>
          <t>Milly</t>
        </is>
      </c>
      <c r="E24" s="14" t="inlineStr">
        <is>
          <t>Birmingham</t>
        </is>
      </c>
      <c r="F24" s="31" t="inlineStr">
        <is>
          <t>BHAMKW</t>
        </is>
      </c>
      <c r="G24" s="14" t="inlineStr">
        <is>
          <t>Kuwait Society</t>
        </is>
      </c>
      <c r="H24" s="37" t="inlineStr">
        <is>
          <t>Pipeline</t>
        </is>
      </c>
      <c r="I24" s="32" t="n"/>
      <c r="J24" s="32" t="n"/>
      <c r="K24" s="33" t="n"/>
      <c r="L24" s="34" t="n"/>
      <c r="M24" s="35" t="n"/>
      <c r="N24" s="31" t="n"/>
      <c r="O24" s="31" t="n"/>
      <c r="P24" s="36" t="n"/>
    </row>
    <row r="25" ht="24" customHeight="1">
      <c r="A25" s="6" t="inlineStr">
        <is>
          <t>TOTALS</t>
        </is>
      </c>
      <c r="L25" s="39">
        <f>SUM(L5:L24)</f>
        <v/>
      </c>
      <c r="M25" s="40">
        <f>SUM(M5:M24)</f>
        <v/>
      </c>
      <c r="N25" s="41" t="n"/>
      <c r="O25" s="41" t="n"/>
      <c r="P25" s="41" t="n"/>
    </row>
  </sheetData>
  <mergeCells count="3">
    <mergeCell ref="A1:P1"/>
    <mergeCell ref="A25:K25"/>
    <mergeCell ref="A2:P2"/>
  </mergeCells>
  <conditionalFormatting sqref="L5:L24">
    <cfRule type="colorScale" priority="1">
      <colorScale>
        <cfvo type="min"/>
        <cfvo type="max"/>
        <color rgb="00FFFFFF"/>
        <color rgb="002D6A4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30" customWidth="1" min="5" max="5"/>
    <col width="30" customWidth="1" min="6" max="6"/>
    <col width="36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 ht="36" customHeight="1">
      <c r="A1" s="1" t="inlineStr">
        <is>
          <t>Calo  ·  Student Accommodation Tracker</t>
        </is>
      </c>
    </row>
    <row r="2" ht="18" customHeight="1">
      <c r="A2" s="2" t="inlineStr">
        <is>
          <t>Student accommodation partnerships  ·  Blue cells = manual input</t>
        </is>
      </c>
    </row>
    <row r="3" ht="8" customHeight="1"/>
    <row r="4" ht="30" customHeight="1">
      <c r="A4" s="4" t="inlineStr">
        <is>
          <t>Accommodation Name</t>
        </is>
      </c>
      <c r="B4" s="4" t="inlineStr">
        <is>
          <t>Account
Manager</t>
        </is>
      </c>
      <c r="C4" s="4" t="inlineStr">
        <is>
          <t>Location</t>
        </is>
      </c>
      <c r="D4" s="4" t="inlineStr">
        <is>
          <t>Discount Code</t>
        </is>
      </c>
      <c r="E4" s="4" t="inlineStr">
        <is>
          <t>Key Contact</t>
        </is>
      </c>
      <c r="F4" s="4" t="inlineStr">
        <is>
          <t>Landing Page</t>
        </is>
      </c>
      <c r="G4" s="4" t="inlineStr">
        <is>
          <t>Activities &amp; Events</t>
        </is>
      </c>
      <c r="H4" s="4" t="inlineStr">
        <is>
          <t>Total
Referrals</t>
        </is>
      </c>
      <c r="I4" s="4" t="inlineStr">
        <is>
          <t>Cash Out
(£)</t>
        </is>
      </c>
      <c r="J4" s="4" t="inlineStr">
        <is>
          <t>Status</t>
        </is>
      </c>
      <c r="K4" s="4" t="inlineStr">
        <is>
          <t>Notes</t>
        </is>
      </c>
    </row>
    <row r="5" ht="22" customHeight="1">
      <c r="A5" s="8" t="inlineStr">
        <is>
          <t>Moda Living</t>
        </is>
      </c>
      <c r="B5" s="21" t="inlineStr">
        <is>
          <t>Milly</t>
        </is>
      </c>
      <c r="C5" s="16" t="inlineStr">
        <is>
          <t>North West</t>
        </is>
      </c>
      <c r="D5" s="22" t="inlineStr">
        <is>
          <t>MODA</t>
        </is>
      </c>
      <c r="E5" s="24" t="inlineStr">
        <is>
          <t>Tilly Seddon — tilly@modaliving.com</t>
        </is>
      </c>
      <c r="F5" s="24" t="n"/>
      <c r="G5" s="24" t="n"/>
      <c r="H5" s="26" t="n">
        <v>8</v>
      </c>
      <c r="I5" s="27" t="n"/>
      <c r="J5" s="23" t="inlineStr">
        <is>
          <t>Active</t>
        </is>
      </c>
      <c r="K5" s="24" t="n"/>
    </row>
    <row r="6" ht="22" customHeight="1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 ht="22" customHeight="1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</row>
    <row r="8" ht="22" customHeight="1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</row>
    <row r="9" ht="22" customHeight="1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</row>
    <row r="10" ht="22" customHeight="1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 ht="24" customHeight="1">
      <c r="A11" s="6" t="inlineStr">
        <is>
          <t>TOTALS</t>
        </is>
      </c>
      <c r="H11" s="39">
        <f>SUM(H5:H10)</f>
        <v/>
      </c>
      <c r="I11" s="40">
        <f>SUM(I5:I10)</f>
        <v/>
      </c>
      <c r="J11" s="41" t="n"/>
      <c r="K11" s="41" t="n"/>
    </row>
  </sheetData>
  <mergeCells count="3">
    <mergeCell ref="A2:K2"/>
    <mergeCell ref="A11:G11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6" customWidth="1" min="5" max="5"/>
    <col width="18" customWidth="1" min="6" max="6"/>
    <col width="20" customWidth="1" min="7" max="7"/>
    <col width="22" customWidth="1" min="8" max="8"/>
    <col width="20" customWidth="1" min="9" max="9"/>
    <col width="30" customWidth="1" min="10" max="10"/>
  </cols>
  <sheetData>
    <row r="1" ht="36" customHeight="1">
      <c r="A1" s="1" t="inlineStr">
        <is>
          <t>Calo  ·  University Student Programme  ·  Monthly Acquisition Tracker</t>
        </is>
      </c>
    </row>
    <row r="2" ht="18" customHeight="1">
      <c r="A2" s="2" t="inlineStr">
        <is>
          <t>High-level monthly view  ·  Blue = enter actuals  ·  Black = auto-calculated</t>
        </is>
      </c>
    </row>
    <row r="3" ht="8" customHeight="1"/>
    <row r="4" ht="30" customHeight="1">
      <c r="A4" s="4" t="inlineStr">
        <is>
          <t>Month</t>
        </is>
      </c>
      <c r="B4" s="4" t="inlineStr">
        <is>
          <t>Total Calo
Acquisitions</t>
        </is>
      </c>
      <c r="C4" s="4" t="inlineStr">
        <is>
          <t>Uni Community
Acquisitions</t>
        </is>
      </c>
      <c r="D4" s="4" t="inlineStr">
        <is>
          <t>% of Total
from Uni</t>
        </is>
      </c>
      <c r="E4" s="4" t="inlineStr">
        <is>
          <t>Active
Societies</t>
        </is>
      </c>
      <c r="F4" s="4" t="inlineStr">
        <is>
          <t>Society
Referrals</t>
        </is>
      </c>
      <c r="G4" s="4" t="inlineStr">
        <is>
          <t>Ambassador /
Influencer Acqs</t>
        </is>
      </c>
      <c r="H4" s="4" t="inlineStr">
        <is>
          <t>Monthly Challenge
Winner</t>
        </is>
      </c>
      <c r="I4" s="4" t="inlineStr">
        <is>
          <t>Top University</t>
        </is>
      </c>
      <c r="J4" s="4" t="inlineStr">
        <is>
          <t>Notes</t>
        </is>
      </c>
    </row>
    <row r="5" ht="22" customHeight="1">
      <c r="A5" s="42" t="inlineStr">
        <is>
          <t>Sep 2025</t>
        </is>
      </c>
      <c r="B5" s="26" t="n"/>
      <c r="C5" s="26" t="n"/>
      <c r="D5" s="43">
        <f>IFERROR(C5/B5,"-")</f>
        <v/>
      </c>
      <c r="E5" s="26" t="n"/>
      <c r="F5" s="26" t="n"/>
      <c r="G5" s="26" t="n"/>
      <c r="H5" s="24" t="n"/>
      <c r="I5" s="24" t="n"/>
      <c r="J5" s="28" t="n"/>
    </row>
    <row r="6" ht="22" customHeight="1">
      <c r="A6" s="44" t="inlineStr">
        <is>
          <t>Oct 2025</t>
        </is>
      </c>
      <c r="B6" s="34" t="n"/>
      <c r="C6" s="34" t="n"/>
      <c r="D6" s="45">
        <f>IFERROR(C6/B6,"-")</f>
        <v/>
      </c>
      <c r="E6" s="34" t="n"/>
      <c r="F6" s="34" t="n"/>
      <c r="G6" s="34" t="n"/>
      <c r="H6" s="32" t="n"/>
      <c r="I6" s="32" t="n"/>
      <c r="J6" s="36" t="n"/>
    </row>
    <row r="7" ht="22" customHeight="1">
      <c r="A7" s="42" t="inlineStr">
        <is>
          <t>Nov 2025</t>
        </is>
      </c>
      <c r="B7" s="26" t="n"/>
      <c r="C7" s="26" t="n"/>
      <c r="D7" s="43">
        <f>IFERROR(C7/B7,"-")</f>
        <v/>
      </c>
      <c r="E7" s="26" t="n"/>
      <c r="F7" s="26" t="n"/>
      <c r="G7" s="26" t="n"/>
      <c r="H7" s="24" t="n"/>
      <c r="I7" s="24" t="n"/>
      <c r="J7" s="28" t="n"/>
    </row>
    <row r="8" ht="22" customHeight="1">
      <c r="A8" s="44" t="inlineStr">
        <is>
          <t>Dec 2025</t>
        </is>
      </c>
      <c r="B8" s="34" t="n"/>
      <c r="C8" s="34" t="n"/>
      <c r="D8" s="45">
        <f>IFERROR(C8/B8,"-")</f>
        <v/>
      </c>
      <c r="E8" s="34" t="n"/>
      <c r="F8" s="34" t="n"/>
      <c r="G8" s="34" t="n"/>
      <c r="H8" s="32" t="n"/>
      <c r="I8" s="32" t="n"/>
      <c r="J8" s="36" t="n"/>
    </row>
    <row r="9" ht="22" customHeight="1">
      <c r="A9" s="42" t="inlineStr">
        <is>
          <t>Jan 2026</t>
        </is>
      </c>
      <c r="B9" s="26" t="n"/>
      <c r="C9" s="26" t="n"/>
      <c r="D9" s="43">
        <f>IFERROR(C9/B9,"-")</f>
        <v/>
      </c>
      <c r="E9" s="26" t="n"/>
      <c r="F9" s="26" t="n"/>
      <c r="G9" s="26" t="n"/>
      <c r="H9" s="24" t="n"/>
      <c r="I9" s="24" t="n"/>
      <c r="J9" s="28" t="n"/>
    </row>
    <row r="10" ht="22" customHeight="1">
      <c r="A10" s="44" t="inlineStr">
        <is>
          <t>Feb 2026</t>
        </is>
      </c>
      <c r="B10" s="34" t="n"/>
      <c r="C10" s="34" t="n"/>
      <c r="D10" s="45">
        <f>IFERROR(C10/B10,"-")</f>
        <v/>
      </c>
      <c r="E10" s="34" t="n"/>
      <c r="F10" s="34" t="n"/>
      <c r="G10" s="34" t="n"/>
      <c r="H10" s="32" t="n"/>
      <c r="I10" s="32" t="n"/>
      <c r="J10" s="36" t="n"/>
    </row>
    <row r="11" ht="22" customHeight="1">
      <c r="A11" s="42" t="inlineStr">
        <is>
          <t>Mar 2026</t>
        </is>
      </c>
      <c r="B11" s="26" t="n"/>
      <c r="C11" s="26" t="n"/>
      <c r="D11" s="43">
        <f>IFERROR(C11/B11,"-")</f>
        <v/>
      </c>
      <c r="E11" s="26" t="n"/>
      <c r="F11" s="26" t="n"/>
      <c r="G11" s="26" t="n"/>
      <c r="H11" s="24" t="n"/>
      <c r="I11" s="24" t="n"/>
      <c r="J11" s="28" t="n"/>
    </row>
    <row r="12" ht="22" customHeight="1">
      <c r="A12" s="44" t="inlineStr">
        <is>
          <t>Apr 2026</t>
        </is>
      </c>
      <c r="B12" s="34" t="n"/>
      <c r="C12" s="34" t="n"/>
      <c r="D12" s="45">
        <f>IFERROR(C12/B12,"-")</f>
        <v/>
      </c>
      <c r="E12" s="34" t="n"/>
      <c r="F12" s="34" t="n"/>
      <c r="G12" s="34" t="n"/>
      <c r="H12" s="32" t="n"/>
      <c r="I12" s="32" t="n"/>
      <c r="J12" s="36" t="n"/>
    </row>
    <row r="13" ht="22" customHeight="1">
      <c r="A13" s="42" t="inlineStr">
        <is>
          <t>May 2026</t>
        </is>
      </c>
      <c r="B13" s="26" t="n"/>
      <c r="C13" s="26" t="n"/>
      <c r="D13" s="43">
        <f>IFERROR(C13/B13,"-")</f>
        <v/>
      </c>
      <c r="E13" s="26" t="n"/>
      <c r="F13" s="26" t="n"/>
      <c r="G13" s="26" t="n"/>
      <c r="H13" s="24" t="n"/>
      <c r="I13" s="24" t="n"/>
      <c r="J13" s="28" t="n"/>
    </row>
    <row r="14" ht="22" customHeight="1">
      <c r="A14" s="44" t="inlineStr">
        <is>
          <t>Jun 2026</t>
        </is>
      </c>
      <c r="B14" s="34" t="n"/>
      <c r="C14" s="34" t="n"/>
      <c r="D14" s="45">
        <f>IFERROR(C14/B14,"-")</f>
        <v/>
      </c>
      <c r="E14" s="34" t="n"/>
      <c r="F14" s="34" t="n"/>
      <c r="G14" s="34" t="n"/>
      <c r="H14" s="32" t="n"/>
      <c r="I14" s="32" t="n"/>
      <c r="J14" s="36" t="n"/>
    </row>
    <row r="15" ht="22" customHeight="1">
      <c r="A15" s="42" t="inlineStr">
        <is>
          <t>Jul 2026</t>
        </is>
      </c>
      <c r="B15" s="26" t="n"/>
      <c r="C15" s="26" t="n"/>
      <c r="D15" s="43">
        <f>IFERROR(C15/B15,"-")</f>
        <v/>
      </c>
      <c r="E15" s="26" t="n"/>
      <c r="F15" s="26" t="n"/>
      <c r="G15" s="26" t="n"/>
      <c r="H15" s="24" t="n"/>
      <c r="I15" s="24" t="n"/>
      <c r="J15" s="28" t="n"/>
    </row>
    <row r="16" ht="22" customHeight="1">
      <c r="A16" s="44" t="inlineStr">
        <is>
          <t>Aug 2026</t>
        </is>
      </c>
      <c r="B16" s="34" t="n"/>
      <c r="C16" s="34" t="n"/>
      <c r="D16" s="45">
        <f>IFERROR(C16/B16,"-")</f>
        <v/>
      </c>
      <c r="E16" s="34" t="n"/>
      <c r="F16" s="34" t="n"/>
      <c r="G16" s="34" t="n"/>
      <c r="H16" s="32" t="n"/>
      <c r="I16" s="32" t="n"/>
      <c r="J16" s="36" t="n"/>
    </row>
    <row r="17" ht="24" customHeight="1">
      <c r="A17" s="6" t="inlineStr">
        <is>
          <t>TOTAL / AVG</t>
        </is>
      </c>
      <c r="B17" s="39">
        <f>SUM(B5:B16)</f>
        <v/>
      </c>
      <c r="C17" s="39">
        <f>SUM(C5:C16)</f>
        <v/>
      </c>
      <c r="D17" s="46">
        <f>IFERROR(C17/B17,"-")</f>
        <v/>
      </c>
      <c r="E17" s="39">
        <f>IFERROR(ROUND(AVERAGE(E5:E16),0),-)</f>
        <v/>
      </c>
      <c r="F17" s="39">
        <f>SUM(F5:F16)</f>
        <v/>
      </c>
      <c r="G17" s="39">
        <f>SUM(G5:G16)</f>
        <v/>
      </c>
      <c r="H17" s="41" t="n"/>
      <c r="I17" s="41" t="n"/>
      <c r="J17" s="41" t="n"/>
    </row>
    <row r="19" ht="16" customHeight="1">
      <c r="A19" s="47" t="inlineStr">
        <is>
          <t>Colour key:</t>
        </is>
      </c>
    </row>
    <row r="20">
      <c r="A20" s="48" t="inlineStr">
        <is>
          <t>Blue = enter actuals each month</t>
        </is>
      </c>
    </row>
    <row r="21">
      <c r="A21" s="49" t="inlineStr">
        <is>
          <t>Black = auto-calculated formula</t>
        </is>
      </c>
    </row>
  </sheetData>
  <mergeCells count="5">
    <mergeCell ref="A1:J1"/>
    <mergeCell ref="A20:D20"/>
    <mergeCell ref="A21:D21"/>
    <mergeCell ref="A19:D19"/>
    <mergeCell ref="A2:J2"/>
  </mergeCells>
  <conditionalFormatting sqref="C5:C16">
    <cfRule type="colorScale" priority="1">
      <colorScale>
        <cfvo type="min"/>
        <cfvo type="max"/>
        <color rgb="00FFFFFF"/>
        <color rgb="002D6A4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2026-03-16T16:02:48Z</dcterms:created>
  <dcterms:modified xsi:type="dcterms:W3CDTF">2026-03-16T16:02:48Z</dcterms:modified>
</cp:coreProperties>
</file>